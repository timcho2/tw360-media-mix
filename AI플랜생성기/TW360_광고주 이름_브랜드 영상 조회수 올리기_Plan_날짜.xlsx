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TW360\믹스안\"/>
    </mc:Choice>
  </mc:AlternateContent>
  <xr:revisionPtr revIDLastSave="0" documentId="8_{BD06F7F7-1E8E-4894-BDD0-A8B2F851DC16}" xr6:coauthVersionLast="47" xr6:coauthVersionMax="47" xr10:uidLastSave="{00000000-0000-0000-0000-000000000000}"/>
  <bookViews>
    <workbookView xWindow="13245" yWindow="-16440" windowWidth="29040" windowHeight="15720" xr2:uid="{B67BA9AA-B8A2-4235-B800-92606C68D947}"/>
  </bookViews>
  <sheets>
    <sheet name="Plan_브랜드 영상 조회수 증대(CPV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3" l="1"/>
  <c r="P13" i="3"/>
  <c r="E12" i="3"/>
  <c r="H11" i="3"/>
  <c r="G6" i="3"/>
  <c r="H12" i="3" l="1"/>
  <c r="L12" i="3" s="1"/>
  <c r="L13" i="3" s="1"/>
  <c r="J12" i="3" l="1"/>
  <c r="J13" i="3" s="1"/>
  <c r="H13" i="3"/>
  <c r="M13" i="3" s="1"/>
  <c r="O12" i="3"/>
  <c r="O13" i="3" s="1"/>
  <c r="N13" i="3" s="1"/>
  <c r="I13" i="3"/>
  <c r="I12" i="3"/>
  <c r="D12" i="3"/>
  <c r="C12" i="3"/>
  <c r="N12" i="3" l="1"/>
</calcChain>
</file>

<file path=xl/sharedStrings.xml><?xml version="1.0" encoding="utf-8"?>
<sst xmlns="http://schemas.openxmlformats.org/spreadsheetml/2006/main" count="44" uniqueCount="41">
  <si>
    <t>Campaign Brief</t>
    <phoneticPr fontId="6" type="noConversion"/>
  </si>
  <si>
    <t>캠페인</t>
    <phoneticPr fontId="3" type="noConversion"/>
  </si>
  <si>
    <t>KPI</t>
    <phoneticPr fontId="3" type="noConversion"/>
  </si>
  <si>
    <t>기간</t>
    <phoneticPr fontId="3" type="noConversion"/>
  </si>
  <si>
    <t>Ad type</t>
    <phoneticPr fontId="3" type="noConversion"/>
  </si>
  <si>
    <t>예상 CTR</t>
    <phoneticPr fontId="3" type="noConversion"/>
  </si>
  <si>
    <t>매체</t>
    <phoneticPr fontId="3" type="noConversion"/>
  </si>
  <si>
    <t>기기</t>
    <phoneticPr fontId="3" type="noConversion"/>
  </si>
  <si>
    <t>예상 CPM</t>
    <phoneticPr fontId="3" type="noConversion"/>
  </si>
  <si>
    <t>* 본 제안은 파일명 상의 일자 기준으로 작성되었으며, 미디어 컨디션 변경 가능성으로 인해 최종 컨펌 전에 반드시 제안에 대한 집행 가능 여부를 확인해야 하며 이로 인한 제안 내역 변경이 발생할 수 있습니다.</t>
    <phoneticPr fontId="3" type="noConversion"/>
  </si>
  <si>
    <t>* 최소 1~2주의 최적화 기간에는 다소 효율이 높게 보일 수 있으며, 위의 Forecasting은 최적화 진행이 되었을 경우의 수치 입니다.</t>
    <phoneticPr fontId="3" type="noConversion"/>
  </si>
  <si>
    <t>* Creative의 기준이 Image 또는 Video에 따라 효율이 다를 수 있습니다.</t>
    <phoneticPr fontId="3" type="noConversion"/>
  </si>
  <si>
    <t>Media summary</t>
    <phoneticPr fontId="3" type="noConversion"/>
  </si>
  <si>
    <t>TW 360 KPI</t>
    <phoneticPr fontId="3" type="noConversion"/>
  </si>
  <si>
    <t>광고주/브랜드</t>
    <phoneticPr fontId="3" type="noConversion"/>
  </si>
  <si>
    <t>대행 수수료율</t>
    <phoneticPr fontId="3" type="noConversion"/>
  </si>
  <si>
    <t>광고 상품</t>
    <phoneticPr fontId="3" type="noConversion"/>
  </si>
  <si>
    <t>예산 (VAT별도/Gross)</t>
    <phoneticPr fontId="3" type="noConversion"/>
  </si>
  <si>
    <t>제작 가이드</t>
    <phoneticPr fontId="3" type="noConversion"/>
  </si>
  <si>
    <t>소재 제작 가이드</t>
    <phoneticPr fontId="3" type="noConversion"/>
  </si>
  <si>
    <t>비고</t>
    <phoneticPr fontId="3" type="noConversion"/>
  </si>
  <si>
    <t>조회수</t>
    <phoneticPr fontId="3" type="noConversion"/>
  </si>
  <si>
    <t>브랜드 영상 조회수 증대</t>
    <phoneticPr fontId="3" type="noConversion"/>
  </si>
  <si>
    <t>views</t>
    <phoneticPr fontId="3" type="noConversion"/>
  </si>
  <si>
    <t>imps</t>
    <phoneticPr fontId="3" type="noConversion"/>
  </si>
  <si>
    <t>clicks</t>
    <phoneticPr fontId="3" type="noConversion"/>
  </si>
  <si>
    <t>예상 VTR</t>
    <phoneticPr fontId="3" type="noConversion"/>
  </si>
  <si>
    <t>보장 조회수</t>
    <phoneticPr fontId="3" type="noConversion"/>
  </si>
  <si>
    <t>보장 CPV</t>
    <phoneticPr fontId="3" type="noConversion"/>
  </si>
  <si>
    <t>예상 노출수</t>
    <phoneticPr fontId="3" type="noConversion"/>
  </si>
  <si>
    <t>예상 클릭수</t>
    <phoneticPr fontId="3" type="noConversion"/>
  </si>
  <si>
    <t>예상 CPC</t>
    <phoneticPr fontId="3" type="noConversion"/>
  </si>
  <si>
    <t>Video</t>
    <phoneticPr fontId="3" type="noConversion"/>
  </si>
  <si>
    <t>PC/ MO</t>
    <phoneticPr fontId="3" type="noConversion"/>
  </si>
  <si>
    <t>(주)hy</t>
    <phoneticPr fontId="3" type="noConversion"/>
  </si>
  <si>
    <t>하나애드아이엠씨</t>
    <phoneticPr fontId="3" type="noConversion"/>
  </si>
  <si>
    <t>대행사</t>
    <phoneticPr fontId="3" type="noConversion"/>
  </si>
  <si>
    <t>브랜드 영상 조회수 올리기(CPV)</t>
    <phoneticPr fontId="3" type="noConversion"/>
  </si>
  <si>
    <t>3개월</t>
    <phoneticPr fontId="3" type="noConversion"/>
  </si>
  <si>
    <t>TW 360
(G, K)</t>
    <phoneticPr fontId="3" type="noConversion"/>
  </si>
  <si>
    <t>■ 영상 조회수 올리기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</si>
</sst>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#,##0_);[Red]\(#,##0\)"/>
    <numFmt numFmtId="178" formatCode="_-&quot;₩&quot;* #,##0.00_-;\-&quot;₩&quot;* #,##0.00_-;_-&quot;₩&quot;* &quot;-&quot;_-;_-@_-"/>
    <numFmt numFmtId="179" formatCode="&quot;₩&quot;#,##0_);[Red]\(&quot;₩&quot;#,##0\)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51"/>
      <name val="나눔고딕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b/>
      <sz val="9"/>
      <color indexed="9"/>
      <name val="나눔고딕"/>
      <family val="3"/>
      <charset val="129"/>
    </font>
    <font>
      <b/>
      <sz val="9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"/>
      <color theme="9"/>
      <name val="나눔고딕"/>
      <family val="3"/>
      <charset val="129"/>
    </font>
    <font>
      <b/>
      <sz val="9"/>
      <color theme="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name val="나눔고딕"/>
      <family val="3"/>
      <charset val="129"/>
    </font>
    <font>
      <sz val="9"/>
      <color rgb="FFFFC000"/>
      <name val="나눔고딕"/>
      <family val="3"/>
      <charset val="129"/>
    </font>
    <font>
      <sz val="9"/>
      <color theme="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9"/>
      <color rgb="FF002060"/>
      <name val="나눔고딕"/>
      <family val="3"/>
      <charset val="129"/>
    </font>
    <font>
      <sz val="10"/>
      <color rgb="FF00206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나눔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176" fontId="5" fillId="0" borderId="4" xfId="4" applyFont="1" applyFill="1" applyBorder="1" applyAlignment="1">
      <alignment vertical="center"/>
    </xf>
    <xf numFmtId="176" fontId="5" fillId="0" borderId="0" xfId="4" applyFont="1" applyFill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42" fontId="7" fillId="0" borderId="0" xfId="1" applyNumberFormat="1" applyFont="1" applyAlignment="1">
      <alignment horizontal="center" vertical="center"/>
    </xf>
    <xf numFmtId="177" fontId="2" fillId="0" borderId="0" xfId="5" applyNumberFormat="1" applyFont="1" applyAlignment="1">
      <alignment horizontal="right" vertical="center"/>
    </xf>
    <xf numFmtId="42" fontId="2" fillId="0" borderId="0" xfId="0" applyNumberFormat="1" applyFont="1">
      <alignment vertical="center"/>
    </xf>
    <xf numFmtId="0" fontId="8" fillId="3" borderId="5" xfId="6" applyFont="1" applyFill="1" applyBorder="1" applyAlignment="1">
      <alignment horizontal="center" vertical="center"/>
    </xf>
    <xf numFmtId="3" fontId="9" fillId="4" borderId="5" xfId="6" applyNumberFormat="1" applyFont="1" applyFill="1" applyBorder="1" applyAlignment="1">
      <alignment horizontal="center" vertical="center"/>
    </xf>
    <xf numFmtId="176" fontId="10" fillId="0" borderId="5" xfId="3" applyFont="1" applyFill="1" applyBorder="1" applyAlignment="1">
      <alignment horizontal="center" vertical="center"/>
    </xf>
    <xf numFmtId="176" fontId="10" fillId="0" borderId="4" xfId="4" applyFont="1" applyFill="1" applyBorder="1" applyAlignment="1">
      <alignment horizontal="center" vertical="center"/>
    </xf>
    <xf numFmtId="3" fontId="9" fillId="4" borderId="4" xfId="6" applyNumberFormat="1" applyFont="1" applyFill="1" applyBorder="1" applyAlignment="1">
      <alignment horizontal="center" vertical="center"/>
    </xf>
    <xf numFmtId="3" fontId="9" fillId="4" borderId="0" xfId="6" applyNumberFormat="1" applyFont="1" applyFill="1" applyAlignment="1">
      <alignment horizontal="center" vertical="center"/>
    </xf>
    <xf numFmtId="3" fontId="9" fillId="5" borderId="5" xfId="6" applyNumberFormat="1" applyFont="1" applyFill="1" applyBorder="1" applyAlignment="1">
      <alignment horizontal="center" vertical="center"/>
    </xf>
    <xf numFmtId="3" fontId="11" fillId="4" borderId="4" xfId="6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42" fontId="2" fillId="0" borderId="0" xfId="1" applyNumberFormat="1" applyFont="1">
      <alignment vertical="center"/>
    </xf>
    <xf numFmtId="14" fontId="12" fillId="0" borderId="4" xfId="6" applyNumberFormat="1" applyFont="1" applyBorder="1" applyAlignment="1">
      <alignment horizontal="center" vertical="center"/>
    </xf>
    <xf numFmtId="14" fontId="12" fillId="0" borderId="0" xfId="6" applyNumberFormat="1" applyFont="1" applyAlignment="1">
      <alignment horizontal="center" vertical="center"/>
    </xf>
    <xf numFmtId="0" fontId="13" fillId="0" borderId="0" xfId="0" applyFont="1">
      <alignment vertical="center"/>
    </xf>
    <xf numFmtId="41" fontId="2" fillId="0" borderId="0" xfId="1" applyFont="1">
      <alignment vertical="center"/>
    </xf>
    <xf numFmtId="177" fontId="13" fillId="0" borderId="0" xfId="0" applyNumberFormat="1" applyFont="1" applyAlignment="1">
      <alignment horizontal="right" vertical="center"/>
    </xf>
    <xf numFmtId="42" fontId="13" fillId="0" borderId="0" xfId="1" applyNumberFormat="1" applyFont="1">
      <alignment vertical="center"/>
    </xf>
    <xf numFmtId="42" fontId="13" fillId="0" borderId="0" xfId="0" applyNumberFormat="1" applyFont="1">
      <alignment vertical="center"/>
    </xf>
    <xf numFmtId="0" fontId="14" fillId="0" borderId="0" xfId="7" applyFont="1" applyAlignment="1">
      <alignment vertical="center"/>
    </xf>
    <xf numFmtId="0" fontId="9" fillId="0" borderId="0" xfId="7" applyFont="1" applyAlignment="1">
      <alignment horizontal="left" vertical="center"/>
    </xf>
    <xf numFmtId="176" fontId="14" fillId="0" borderId="0" xfId="4" applyFont="1">
      <alignment vertical="center"/>
    </xf>
    <xf numFmtId="0" fontId="7" fillId="0" borderId="11" xfId="9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7" fontId="2" fillId="0" borderId="0" xfId="1" applyNumberFormat="1" applyFont="1" applyAlignment="1">
      <alignment horizontal="right" vertical="center"/>
    </xf>
    <xf numFmtId="177" fontId="19" fillId="0" borderId="0" xfId="1" applyNumberFormat="1" applyFont="1" applyAlignment="1">
      <alignment horizontal="right" vertical="center"/>
    </xf>
    <xf numFmtId="42" fontId="19" fillId="0" borderId="0" xfId="1" applyNumberFormat="1" applyFont="1">
      <alignment vertical="center"/>
    </xf>
    <xf numFmtId="177" fontId="19" fillId="0" borderId="0" xfId="0" applyNumberFormat="1" applyFont="1" applyAlignment="1">
      <alignment horizontal="right" vertical="center"/>
    </xf>
    <xf numFmtId="42" fontId="19" fillId="0" borderId="0" xfId="0" applyNumberFormat="1" applyFont="1">
      <alignment vertical="center"/>
    </xf>
    <xf numFmtId="0" fontId="20" fillId="0" borderId="0" xfId="0" applyFont="1">
      <alignment vertical="center"/>
    </xf>
    <xf numFmtId="178" fontId="19" fillId="0" borderId="0" xfId="1" applyNumberFormat="1" applyFont="1">
      <alignment vertical="center"/>
    </xf>
    <xf numFmtId="44" fontId="2" fillId="0" borderId="0" xfId="0" applyNumberFormat="1" applyFont="1">
      <alignment vertical="center"/>
    </xf>
    <xf numFmtId="0" fontId="16" fillId="3" borderId="11" xfId="8" applyFont="1" applyFill="1" applyBorder="1" applyAlignment="1">
      <alignment horizontal="center" vertical="center"/>
    </xf>
    <xf numFmtId="177" fontId="16" fillId="3" borderId="11" xfId="4" applyNumberFormat="1" applyFont="1" applyFill="1" applyBorder="1" applyAlignment="1">
      <alignment horizontal="center" vertical="center" wrapText="1"/>
    </xf>
    <xf numFmtId="3" fontId="7" fillId="0" borderId="11" xfId="9" applyNumberFormat="1" applyFont="1" applyBorder="1" applyAlignment="1">
      <alignment horizontal="center" vertical="center" wrapText="1"/>
    </xf>
    <xf numFmtId="41" fontId="7" fillId="5" borderId="11" xfId="1" quotePrefix="1" applyFont="1" applyFill="1" applyBorder="1" applyAlignment="1">
      <alignment horizontal="center" vertical="center"/>
    </xf>
    <xf numFmtId="9" fontId="9" fillId="4" borderId="5" xfId="2" applyFont="1" applyFill="1" applyBorder="1" applyAlignment="1">
      <alignment horizontal="center" vertical="center"/>
    </xf>
    <xf numFmtId="0" fontId="16" fillId="3" borderId="11" xfId="8" applyFont="1" applyFill="1" applyBorder="1" applyAlignment="1">
      <alignment horizontal="center" vertical="center" wrapText="1"/>
    </xf>
    <xf numFmtId="42" fontId="16" fillId="3" borderId="11" xfId="1" applyNumberFormat="1" applyFont="1" applyFill="1" applyBorder="1" applyAlignment="1">
      <alignment horizontal="center" vertical="center" wrapText="1"/>
    </xf>
    <xf numFmtId="176" fontId="16" fillId="3" borderId="11" xfId="4" applyFont="1" applyFill="1" applyBorder="1" applyAlignment="1">
      <alignment horizontal="center" vertical="center" wrapText="1"/>
    </xf>
    <xf numFmtId="10" fontId="7" fillId="0" borderId="11" xfId="2" quotePrefix="1" applyNumberFormat="1" applyFont="1" applyBorder="1" applyAlignment="1">
      <alignment horizontal="center" vertical="center"/>
    </xf>
    <xf numFmtId="176" fontId="25" fillId="0" borderId="5" xfId="12" applyNumberFormat="1" applyFont="1" applyFill="1" applyBorder="1" applyAlignment="1">
      <alignment horizontal="center" vertical="center"/>
    </xf>
    <xf numFmtId="0" fontId="23" fillId="7" borderId="0" xfId="1" quotePrefix="1" applyNumberFormat="1" applyFont="1" applyFill="1" applyBorder="1" applyAlignment="1">
      <alignment horizontal="left" vertical="center"/>
    </xf>
    <xf numFmtId="0" fontId="15" fillId="6" borderId="11" xfId="7" applyFont="1" applyFill="1" applyBorder="1" applyAlignment="1">
      <alignment vertical="center"/>
    </xf>
    <xf numFmtId="42" fontId="16" fillId="3" borderId="11" xfId="4" applyNumberFormat="1" applyFont="1" applyFill="1" applyBorder="1" applyAlignment="1">
      <alignment horizontal="center" vertical="center" wrapText="1"/>
    </xf>
    <xf numFmtId="179" fontId="7" fillId="0" borderId="11" xfId="13" quotePrefix="1" applyNumberFormat="1" applyFont="1" applyBorder="1" applyAlignment="1">
      <alignment horizontal="center" vertical="center"/>
    </xf>
    <xf numFmtId="41" fontId="7" fillId="8" borderId="11" xfId="1" quotePrefix="1" applyFont="1" applyFill="1" applyBorder="1" applyAlignment="1">
      <alignment horizontal="center" vertical="center"/>
    </xf>
    <xf numFmtId="10" fontId="7" fillId="8" borderId="11" xfId="2" quotePrefix="1" applyNumberFormat="1" applyFont="1" applyFill="1" applyBorder="1" applyAlignment="1">
      <alignment horizontal="center" vertical="center"/>
    </xf>
    <xf numFmtId="0" fontId="17" fillId="2" borderId="14" xfId="7" applyFont="1" applyFill="1" applyBorder="1" applyAlignment="1">
      <alignment vertical="center"/>
    </xf>
    <xf numFmtId="0" fontId="17" fillId="2" borderId="13" xfId="7" applyFont="1" applyFill="1" applyBorder="1" applyAlignment="1">
      <alignment vertical="center"/>
    </xf>
    <xf numFmtId="42" fontId="16" fillId="2" borderId="11" xfId="13" applyFont="1" applyFill="1" applyBorder="1" applyAlignment="1">
      <alignment vertical="center"/>
    </xf>
    <xf numFmtId="10" fontId="16" fillId="2" borderId="11" xfId="2" applyNumberFormat="1" applyFont="1" applyFill="1" applyBorder="1" applyAlignment="1">
      <alignment horizontal="center" vertical="center"/>
    </xf>
    <xf numFmtId="41" fontId="16" fillId="2" borderId="11" xfId="1" applyFont="1" applyFill="1" applyBorder="1" applyAlignment="1">
      <alignment vertical="center"/>
    </xf>
    <xf numFmtId="176" fontId="24" fillId="0" borderId="5" xfId="12" applyNumberFormat="1" applyFill="1" applyBorder="1" applyAlignment="1">
      <alignment horizontal="center" vertical="center"/>
    </xf>
    <xf numFmtId="0" fontId="15" fillId="6" borderId="11" xfId="7" applyFont="1" applyFill="1" applyBorder="1" applyAlignment="1">
      <alignment horizontal="center" vertical="center"/>
    </xf>
    <xf numFmtId="176" fontId="5" fillId="2" borderId="1" xfId="3" applyFont="1" applyFill="1" applyBorder="1" applyAlignment="1">
      <alignment horizontal="center" vertical="center"/>
    </xf>
    <xf numFmtId="176" fontId="5" fillId="2" borderId="2" xfId="3" applyFont="1" applyFill="1" applyBorder="1" applyAlignment="1">
      <alignment horizontal="center" vertical="center"/>
    </xf>
    <xf numFmtId="176" fontId="5" fillId="2" borderId="3" xfId="3" applyFont="1" applyFill="1" applyBorder="1" applyAlignment="1">
      <alignment horizontal="center" vertical="center"/>
    </xf>
    <xf numFmtId="0" fontId="15" fillId="6" borderId="9" xfId="7" applyFont="1" applyFill="1" applyBorder="1" applyAlignment="1">
      <alignment horizontal="center" vertical="center"/>
    </xf>
    <xf numFmtId="0" fontId="15" fillId="6" borderId="10" xfId="7" applyFont="1" applyFill="1" applyBorder="1" applyAlignment="1">
      <alignment horizontal="center" vertical="center"/>
    </xf>
    <xf numFmtId="0" fontId="9" fillId="5" borderId="6" xfId="7" applyFont="1" applyFill="1" applyBorder="1" applyAlignment="1">
      <alignment horizontal="center" vertical="center"/>
    </xf>
    <xf numFmtId="0" fontId="9" fillId="5" borderId="7" xfId="7" applyFont="1" applyFill="1" applyBorder="1" applyAlignment="1">
      <alignment horizontal="center" vertical="center"/>
    </xf>
    <xf numFmtId="0" fontId="9" fillId="5" borderId="8" xfId="7" applyFont="1" applyFill="1" applyBorder="1" applyAlignment="1">
      <alignment horizontal="center" vertical="center"/>
    </xf>
    <xf numFmtId="0" fontId="15" fillId="6" borderId="12" xfId="7" applyFont="1" applyFill="1" applyBorder="1" applyAlignment="1">
      <alignment horizontal="center" vertical="center"/>
    </xf>
    <xf numFmtId="0" fontId="15" fillId="6" borderId="13" xfId="7" applyFont="1" applyFill="1" applyBorder="1" applyAlignment="1">
      <alignment horizontal="center" vertical="center"/>
    </xf>
  </cellXfs>
  <cellStyles count="14">
    <cellStyle name="백분율" xfId="2" builtinId="5"/>
    <cellStyle name="쉼표 [0]" xfId="1" builtinId="6"/>
    <cellStyle name="쉼표 [0] 2" xfId="3" xr:uid="{B0DF7BFA-5D72-4B2C-912E-D9E6032EB9E0}"/>
    <cellStyle name="쉼표 [0] 2 2" xfId="4" xr:uid="{36BA39CF-F304-417D-B9AA-B73EC3B66C1D}"/>
    <cellStyle name="쉼표 [0] 3" xfId="5" xr:uid="{1E5B6B7A-A133-4762-8533-A199359EE4F5}"/>
    <cellStyle name="통화 [0]" xfId="13" builtinId="7"/>
    <cellStyle name="표준" xfId="0" builtinId="0"/>
    <cellStyle name="표준 2" xfId="10" xr:uid="{41C4661C-80EF-4252-B32A-28F37F9B91F3}"/>
    <cellStyle name="표준 2 2 2" xfId="7" xr:uid="{4BCB2D66-C0EC-40C3-8F79-7B96398CDF8F}"/>
    <cellStyle name="표준_060721_하나커피카드_Media Mix_070125_르노삼성(SM5)_Media Mix_NAS(작업전)_르노삼성 믹스종합_070214" xfId="8" xr:uid="{3D703336-C9FD-48C2-9970-AADF2EF29ABA}"/>
    <cellStyle name="표준_060721_하나커피카드_Media Mix_070125_르노삼성(SM5)_Media Mix_NAS(작업전)_르노삼성 믹스종합_070214_070621_르노삼성(SM5)_Media Mix_NAS" xfId="9" xr:uid="{4230749F-6DFE-4635-BA0E-2641E23E65BD}"/>
    <cellStyle name="표준_DHC8월 MediaMix_070718_DHC9월 MediaMix_070817" xfId="6" xr:uid="{8C42F5B2-18EA-4465-819C-C53C35619481}"/>
    <cellStyle name="하이퍼링크" xfId="12" builtinId="8"/>
    <cellStyle name="하이퍼링크 2" xfId="11" xr:uid="{2B67359A-05BA-49B5-9B91-917BF1C32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dCWQZi-anGsAlV9hOtes2XLrqf11lFX8/edit?gid=678112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4F6C-23F8-4C44-A9B0-15FC9FA87292}">
  <sheetPr>
    <tabColor theme="7" tint="0.79998168889431442"/>
    <pageSetUpPr fitToPage="1"/>
  </sheetPr>
  <dimension ref="A2:P18"/>
  <sheetViews>
    <sheetView showGridLines="0" tabSelected="1" zoomScaleNormal="100" zoomScalePageLayoutView="130" workbookViewId="0"/>
  </sheetViews>
  <sheetFormatPr defaultColWidth="8.8984375" defaultRowHeight="13.8" x14ac:dyDescent="0.4"/>
  <cols>
    <col min="1" max="1" width="2" style="20" customWidth="1"/>
    <col min="2" max="2" width="22.59765625" style="20" customWidth="1"/>
    <col min="3" max="3" width="28.69921875" style="20" customWidth="1"/>
    <col min="4" max="5" width="20.59765625" style="20" customWidth="1"/>
    <col min="6" max="6" width="15.59765625" style="20" customWidth="1"/>
    <col min="7" max="7" width="19.3984375" style="20" customWidth="1"/>
    <col min="8" max="8" width="16.59765625" style="20" customWidth="1"/>
    <col min="9" max="9" width="15.59765625" style="22" customWidth="1"/>
    <col min="10" max="10" width="10.59765625" style="23" customWidth="1"/>
    <col min="11" max="11" width="10.59765625" style="20" customWidth="1"/>
    <col min="12" max="12" width="12.3984375" style="22" customWidth="1"/>
    <col min="13" max="13" width="10" style="24" customWidth="1"/>
    <col min="14" max="15" width="12.3984375" style="20" customWidth="1"/>
    <col min="16" max="16384" width="8.8984375" style="20"/>
  </cols>
  <sheetData>
    <row r="2" spans="1:16" s="1" customFormat="1" ht="20.100000000000001" customHeight="1" x14ac:dyDescent="0.4">
      <c r="B2" s="63" t="s">
        <v>0</v>
      </c>
      <c r="C2" s="64"/>
      <c r="D2" s="64"/>
      <c r="E2" s="65"/>
      <c r="F2" s="2"/>
      <c r="G2" s="3"/>
      <c r="I2" s="4"/>
      <c r="J2" s="5"/>
      <c r="L2" s="6"/>
      <c r="M2" s="7"/>
    </row>
    <row r="3" spans="1:16" s="1" customFormat="1" ht="15" customHeight="1" x14ac:dyDescent="0.4">
      <c r="B3" s="8" t="s">
        <v>14</v>
      </c>
      <c r="C3" s="9" t="s">
        <v>34</v>
      </c>
      <c r="D3" s="8" t="s">
        <v>36</v>
      </c>
      <c r="E3" s="10" t="s">
        <v>35</v>
      </c>
      <c r="F3" s="11"/>
      <c r="G3" s="3"/>
      <c r="I3" s="4"/>
      <c r="J3" s="5"/>
      <c r="L3" s="6"/>
      <c r="M3" s="7"/>
    </row>
    <row r="4" spans="1:16" s="1" customFormat="1" ht="15" customHeight="1" x14ac:dyDescent="0.4">
      <c r="B4" s="8" t="s">
        <v>1</v>
      </c>
      <c r="C4" s="9" t="s">
        <v>37</v>
      </c>
      <c r="D4" s="8" t="s">
        <v>15</v>
      </c>
      <c r="E4" s="44">
        <v>0.1</v>
      </c>
      <c r="F4" s="12"/>
      <c r="G4" s="13"/>
      <c r="I4" s="4"/>
      <c r="J4" s="5"/>
      <c r="L4" s="6"/>
      <c r="M4" s="7"/>
    </row>
    <row r="5" spans="1:16" s="1" customFormat="1" ht="15" customHeight="1" x14ac:dyDescent="0.4">
      <c r="B5" s="8" t="s">
        <v>2</v>
      </c>
      <c r="C5" s="14" t="s">
        <v>21</v>
      </c>
      <c r="D5" s="8" t="s">
        <v>16</v>
      </c>
      <c r="E5" s="10" t="s">
        <v>22</v>
      </c>
      <c r="F5" s="15"/>
      <c r="G5" s="13"/>
      <c r="I5" s="16"/>
      <c r="J5" s="17"/>
      <c r="L5" s="16"/>
      <c r="M5" s="7"/>
    </row>
    <row r="6" spans="1:16" s="1" customFormat="1" ht="15" customHeight="1" x14ac:dyDescent="0.4">
      <c r="B6" s="8" t="s">
        <v>3</v>
      </c>
      <c r="C6" s="10" t="s">
        <v>38</v>
      </c>
      <c r="D6" s="8" t="s">
        <v>17</v>
      </c>
      <c r="E6" s="10">
        <v>30000000</v>
      </c>
      <c r="F6" s="18">
        <v>45635</v>
      </c>
      <c r="G6" s="19">
        <f>F6+30-1</f>
        <v>45664</v>
      </c>
      <c r="I6" s="4"/>
      <c r="J6" s="5"/>
      <c r="L6" s="6"/>
      <c r="M6" s="7"/>
    </row>
    <row r="7" spans="1:16" s="1" customFormat="1" ht="15" customHeight="1" x14ac:dyDescent="0.4">
      <c r="B7" s="8" t="s">
        <v>18</v>
      </c>
      <c r="C7" s="61" t="s">
        <v>19</v>
      </c>
      <c r="D7" s="8" t="s">
        <v>20</v>
      </c>
      <c r="E7" s="49"/>
      <c r="F7" s="19"/>
      <c r="G7" s="19"/>
      <c r="I7" s="4"/>
      <c r="J7" s="4"/>
      <c r="K7" s="5"/>
      <c r="L7" s="4"/>
      <c r="M7" s="4"/>
      <c r="O7" s="6"/>
      <c r="P7" s="7"/>
    </row>
    <row r="8" spans="1:16" s="1" customFormat="1" ht="15" customHeight="1" thickBot="1" x14ac:dyDescent="0.45">
      <c r="B8" s="19"/>
      <c r="C8" s="19"/>
      <c r="D8" s="19"/>
      <c r="E8" s="19"/>
      <c r="F8" s="19"/>
      <c r="G8" s="19"/>
      <c r="I8" s="4"/>
      <c r="J8" s="5"/>
      <c r="L8" s="6"/>
      <c r="M8" s="7"/>
    </row>
    <row r="9" spans="1:16" s="25" customFormat="1" ht="15" customHeight="1" thickBot="1" x14ac:dyDescent="0.45">
      <c r="B9" s="50" t="s">
        <v>40</v>
      </c>
      <c r="C9" s="26"/>
      <c r="D9" s="26"/>
      <c r="E9" s="26"/>
      <c r="F9" s="26"/>
      <c r="G9" s="26"/>
      <c r="I9" s="68" t="s">
        <v>13</v>
      </c>
      <c r="J9" s="69"/>
      <c r="K9" s="70"/>
      <c r="L9" s="1"/>
      <c r="M9" s="5"/>
      <c r="N9" s="5"/>
    </row>
    <row r="10" spans="1:16" s="25" customFormat="1" ht="20.100000000000001" customHeight="1" x14ac:dyDescent="0.4">
      <c r="B10" s="66" t="s">
        <v>12</v>
      </c>
      <c r="C10" s="67"/>
      <c r="D10" s="67"/>
      <c r="E10" s="67"/>
      <c r="F10" s="67"/>
      <c r="G10" s="67"/>
      <c r="H10" s="51"/>
      <c r="I10" s="62" t="s">
        <v>23</v>
      </c>
      <c r="J10" s="62"/>
      <c r="K10" s="62"/>
      <c r="L10" s="71" t="s">
        <v>24</v>
      </c>
      <c r="M10" s="72"/>
      <c r="N10" s="62" t="s">
        <v>25</v>
      </c>
      <c r="O10" s="62"/>
      <c r="P10" s="62"/>
    </row>
    <row r="11" spans="1:16" s="25" customFormat="1" ht="20.100000000000001" customHeight="1" x14ac:dyDescent="0.4">
      <c r="B11" s="40" t="s">
        <v>6</v>
      </c>
      <c r="C11" s="40" t="s">
        <v>2</v>
      </c>
      <c r="D11" s="40" t="s">
        <v>16</v>
      </c>
      <c r="E11" s="40" t="s">
        <v>3</v>
      </c>
      <c r="F11" s="40" t="s">
        <v>4</v>
      </c>
      <c r="G11" s="40" t="s">
        <v>7</v>
      </c>
      <c r="H11" s="45" t="str">
        <f>$D$6</f>
        <v>예산 (VAT별도/Gross)</v>
      </c>
      <c r="I11" s="47" t="s">
        <v>26</v>
      </c>
      <c r="J11" s="41" t="s">
        <v>27</v>
      </c>
      <c r="K11" s="52" t="s">
        <v>28</v>
      </c>
      <c r="L11" s="46" t="s">
        <v>29</v>
      </c>
      <c r="M11" s="46" t="s">
        <v>8</v>
      </c>
      <c r="N11" s="47" t="s">
        <v>5</v>
      </c>
      <c r="O11" s="41" t="s">
        <v>30</v>
      </c>
      <c r="P11" s="52" t="s">
        <v>31</v>
      </c>
    </row>
    <row r="12" spans="1:16" s="27" customFormat="1" ht="39.9" customHeight="1" x14ac:dyDescent="0.4">
      <c r="B12" s="28" t="s">
        <v>39</v>
      </c>
      <c r="C12" s="42" t="str">
        <f>C5</f>
        <v>조회수</v>
      </c>
      <c r="D12" s="42" t="str">
        <f>E5</f>
        <v>브랜드 영상 조회수 증대</v>
      </c>
      <c r="E12" s="42" t="str">
        <f>C6</f>
        <v>3개월</v>
      </c>
      <c r="F12" s="28" t="s">
        <v>32</v>
      </c>
      <c r="G12" s="28" t="s">
        <v>33</v>
      </c>
      <c r="H12" s="53">
        <f>E6</f>
        <v>30000000</v>
      </c>
      <c r="I12" s="48">
        <f>J12/L12</f>
        <v>0.18421052631578949</v>
      </c>
      <c r="J12" s="43">
        <f>H12/K12</f>
        <v>789473.68421052629</v>
      </c>
      <c r="K12" s="43">
        <v>38</v>
      </c>
      <c r="L12" s="54">
        <f>H12/M12*1000</f>
        <v>4285714.2857142854</v>
      </c>
      <c r="M12" s="54">
        <v>7000</v>
      </c>
      <c r="N12" s="55">
        <f>O12/L12</f>
        <v>1.75E-3</v>
      </c>
      <c r="O12" s="54">
        <f>H12/P12</f>
        <v>7500</v>
      </c>
      <c r="P12" s="54">
        <v>4000</v>
      </c>
    </row>
    <row r="13" spans="1:16" s="27" customFormat="1" ht="20.100000000000001" customHeight="1" x14ac:dyDescent="0.4">
      <c r="B13" s="56"/>
      <c r="C13" s="56"/>
      <c r="D13" s="56"/>
      <c r="E13" s="56"/>
      <c r="F13" s="56"/>
      <c r="G13" s="57"/>
      <c r="H13" s="58">
        <f>SUM(H12:H12)</f>
        <v>30000000</v>
      </c>
      <c r="I13" s="59">
        <f>J13/L13</f>
        <v>0.18421052631578949</v>
      </c>
      <c r="J13" s="60">
        <f>SUM(J12:J12)</f>
        <v>789473.68421052629</v>
      </c>
      <c r="K13" s="60">
        <f>K12</f>
        <v>38</v>
      </c>
      <c r="L13" s="60">
        <f>SUM(L12:L12)</f>
        <v>4285714.2857142854</v>
      </c>
      <c r="M13" s="60">
        <f>H13/L13*1000</f>
        <v>7000</v>
      </c>
      <c r="N13" s="59">
        <f>O13/L13</f>
        <v>1.75E-3</v>
      </c>
      <c r="O13" s="60">
        <f>SUM(O12:O12)</f>
        <v>7500</v>
      </c>
      <c r="P13" s="60">
        <f>P12</f>
        <v>4000</v>
      </c>
    </row>
    <row r="14" spans="1:16" s="27" customFormat="1" ht="13.5" customHeight="1" x14ac:dyDescent="0.4">
      <c r="A14" s="20"/>
      <c r="B14" s="20"/>
      <c r="C14" s="20"/>
      <c r="D14" s="20"/>
      <c r="E14" s="20"/>
      <c r="F14" s="20"/>
      <c r="G14" s="20"/>
      <c r="H14" s="21"/>
      <c r="I14" s="22"/>
      <c r="J14" s="23"/>
      <c r="K14" s="20"/>
      <c r="L14" s="22"/>
      <c r="M14" s="24"/>
    </row>
    <row r="15" spans="1:16" s="1" customFormat="1" ht="14.25" customHeight="1" x14ac:dyDescent="0.4">
      <c r="B15" s="29" t="s">
        <v>9</v>
      </c>
      <c r="C15" s="30"/>
      <c r="D15" s="30"/>
      <c r="E15" s="30"/>
      <c r="F15" s="30"/>
      <c r="G15" s="30"/>
      <c r="H15" s="31"/>
      <c r="I15" s="32"/>
      <c r="J15" s="17"/>
      <c r="K15" s="39"/>
      <c r="L15" s="16"/>
      <c r="M15" s="7"/>
      <c r="N15" s="39"/>
    </row>
    <row r="16" spans="1:16" s="1" customFormat="1" ht="14.25" customHeight="1" x14ac:dyDescent="0.4">
      <c r="B16" s="29" t="s">
        <v>10</v>
      </c>
      <c r="C16" s="30"/>
      <c r="D16" s="30"/>
      <c r="E16" s="30"/>
      <c r="F16" s="30"/>
      <c r="G16" s="30"/>
      <c r="H16" s="31"/>
      <c r="I16" s="33"/>
      <c r="J16" s="38"/>
      <c r="K16" s="34"/>
      <c r="L16" s="35"/>
      <c r="M16" s="36"/>
      <c r="N16" s="34"/>
    </row>
    <row r="17" spans="2:13" s="1" customFormat="1" ht="14.25" customHeight="1" x14ac:dyDescent="0.4">
      <c r="B17" s="29" t="s">
        <v>11</v>
      </c>
      <c r="C17" s="37"/>
      <c r="D17" s="37"/>
      <c r="E17" s="37"/>
      <c r="F17" s="37"/>
      <c r="G17" s="37"/>
      <c r="H17" s="21"/>
      <c r="I17" s="35"/>
      <c r="J17" s="34"/>
      <c r="K17" s="31"/>
      <c r="L17" s="35"/>
      <c r="M17" s="36"/>
    </row>
    <row r="18" spans="2:13" s="1" customFormat="1" ht="14.25" customHeight="1" x14ac:dyDescent="0.4">
      <c r="B18" s="29"/>
      <c r="C18" s="37"/>
      <c r="D18" s="37"/>
      <c r="E18" s="37"/>
      <c r="F18" s="37"/>
      <c r="G18" s="37"/>
      <c r="H18" s="21"/>
      <c r="I18" s="35"/>
      <c r="J18" s="34"/>
      <c r="K18" s="31"/>
      <c r="L18" s="35"/>
      <c r="M18" s="36"/>
    </row>
  </sheetData>
  <mergeCells count="6">
    <mergeCell ref="B2:E2"/>
    <mergeCell ref="B10:G10"/>
    <mergeCell ref="I9:K9"/>
    <mergeCell ref="I10:K10"/>
    <mergeCell ref="L10:M10"/>
    <mergeCell ref="N10:P10"/>
  </mergeCells>
  <phoneticPr fontId="3" type="noConversion"/>
  <hyperlinks>
    <hyperlink ref="C7" r:id="rId1" location="gid=678112863" xr:uid="{423E2100-427F-4C09-AD9D-FB53502CAC36}"/>
  </hyperlinks>
  <pageMargins left="0.7" right="0.7" top="0.75" bottom="0.75" header="0.3" footer="0.3"/>
  <pageSetup paperSize="9" scale="51" orientation="landscape" r:id="rId2"/>
  <ignoredErrors>
    <ignoredError sqref="I13:K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Plan_브랜드 영상 조회수 증대(CPV)</vt:lpstr>
    </vt:vector>
  </TitlesOfParts>
  <Company>IGAWorks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Mandy.전민지</dc:creator>
  <cp:lastModifiedBy>Tim.최태원</cp:lastModifiedBy>
  <dcterms:created xsi:type="dcterms:W3CDTF">2025-03-20T02:20:33Z</dcterms:created>
  <dcterms:modified xsi:type="dcterms:W3CDTF">2026-02-24T05:25:50Z</dcterms:modified>
</cp:coreProperties>
</file>