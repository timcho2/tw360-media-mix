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TW360\믹스안\"/>
    </mc:Choice>
  </mc:AlternateContent>
  <xr:revisionPtr revIDLastSave="0" documentId="8_{2525B483-631E-4656-BBC3-C48A628629D0}" xr6:coauthVersionLast="47" xr6:coauthVersionMax="47" xr10:uidLastSave="{00000000-0000-0000-0000-000000000000}"/>
  <bookViews>
    <workbookView xWindow="13245" yWindow="-16440" windowWidth="29040" windowHeight="15720" xr2:uid="{B67BA9AA-B8A2-4235-B800-92606C68D947}"/>
  </bookViews>
  <sheets>
    <sheet name="Plan_회원가입유도하기(CPA)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J12" i="5" s="1"/>
  <c r="E12" i="5"/>
  <c r="K13" i="5"/>
  <c r="M13" i="5"/>
  <c r="C5" i="5"/>
  <c r="E5" i="5"/>
  <c r="L12" i="5" l="1"/>
  <c r="L13" i="5" s="1"/>
  <c r="J13" i="5"/>
  <c r="P13" i="5"/>
  <c r="H13" i="5"/>
  <c r="O12" i="5"/>
  <c r="I12" i="5" s="1"/>
  <c r="I13" i="5" s="1"/>
  <c r="G6" i="5"/>
  <c r="O13" i="5" l="1"/>
  <c r="N12" i="5"/>
  <c r="N13" i="5" s="1"/>
</calcChain>
</file>

<file path=xl/sharedStrings.xml><?xml version="1.0" encoding="utf-8"?>
<sst xmlns="http://schemas.openxmlformats.org/spreadsheetml/2006/main" count="46" uniqueCount="43">
  <si>
    <t>Campaign Brief</t>
    <phoneticPr fontId="6" type="noConversion"/>
  </si>
  <si>
    <t>캠페인</t>
    <phoneticPr fontId="3" type="noConversion"/>
  </si>
  <si>
    <t>KPI</t>
    <phoneticPr fontId="3" type="noConversion"/>
  </si>
  <si>
    <t>기간</t>
    <phoneticPr fontId="3" type="noConversion"/>
  </si>
  <si>
    <t>Ad type</t>
    <phoneticPr fontId="3" type="noConversion"/>
  </si>
  <si>
    <t>예상 CTR</t>
    <phoneticPr fontId="3" type="noConversion"/>
  </si>
  <si>
    <t>매체</t>
    <phoneticPr fontId="3" type="noConversion"/>
  </si>
  <si>
    <t>기기</t>
    <phoneticPr fontId="3" type="noConversion"/>
  </si>
  <si>
    <t>예상 노출수</t>
    <phoneticPr fontId="6" type="noConversion"/>
  </si>
  <si>
    <t>예상 CPM</t>
    <phoneticPr fontId="3" type="noConversion"/>
  </si>
  <si>
    <t>IMAGE</t>
    <phoneticPr fontId="3" type="noConversion"/>
  </si>
  <si>
    <t>PC/MO</t>
    <phoneticPr fontId="3" type="noConversion"/>
  </si>
  <si>
    <t>* 본 제안은 파일명 상의 일자 기준으로 작성되었으며, 미디어 컨디션 변경 가능성으로 인해 최종 컨펌 전에 반드시 제안에 대한 집행 가능 여부를 확인해야 하며 이로 인한 제안 내역 변경이 발생할 수 있습니다.</t>
    <phoneticPr fontId="3" type="noConversion"/>
  </si>
  <si>
    <t>* 최소 1~2주의 최적화 기간에는 다소 효율이 높게 보일 수 있으며, 위의 Forecasting은 최적화 진행이 되었을 경우의 수치 입니다.</t>
    <phoneticPr fontId="3" type="noConversion"/>
  </si>
  <si>
    <t>* Creative의 기준이 Image 또는 Video에 따라 효율이 다를 수 있습니다.</t>
    <phoneticPr fontId="3" type="noConversion"/>
  </si>
  <si>
    <t>Total</t>
    <phoneticPr fontId="3" type="noConversion"/>
  </si>
  <si>
    <t>Media summary</t>
    <phoneticPr fontId="3" type="noConversion"/>
  </si>
  <si>
    <t>예상 클릭수</t>
    <phoneticPr fontId="3" type="noConversion"/>
  </si>
  <si>
    <t>예상 CPC</t>
    <phoneticPr fontId="3" type="noConversion"/>
  </si>
  <si>
    <t>TW 360 KPI</t>
    <phoneticPr fontId="3" type="noConversion"/>
  </si>
  <si>
    <t>광고주/브랜드</t>
    <phoneticPr fontId="3" type="noConversion"/>
  </si>
  <si>
    <t>광고 상품</t>
    <phoneticPr fontId="3" type="noConversion"/>
  </si>
  <si>
    <t>예산 (VAT별도/Gross)</t>
  </si>
  <si>
    <t>예산 (VAT별도/Gross)</t>
    <phoneticPr fontId="3" type="noConversion"/>
  </si>
  <si>
    <t>■ 세부 제안 내역</t>
    <phoneticPr fontId="3" type="noConversion"/>
  </si>
  <si>
    <t>전환수</t>
    <phoneticPr fontId="3" type="noConversion"/>
  </si>
  <si>
    <t>예상 CVR</t>
  </si>
  <si>
    <t>예상 전환수</t>
  </si>
  <si>
    <t>예상 CPA</t>
  </si>
  <si>
    <t>제작 가이드</t>
    <phoneticPr fontId="3" type="noConversion"/>
  </si>
  <si>
    <t>소재 제작 가이드</t>
    <phoneticPr fontId="3" type="noConversion"/>
  </si>
  <si>
    <t>비고</t>
    <phoneticPr fontId="3" type="noConversion"/>
  </si>
  <si>
    <t>회원가입 유도하기</t>
    <phoneticPr fontId="3" type="noConversion"/>
  </si>
  <si>
    <t>전환</t>
    <phoneticPr fontId="3" type="noConversion"/>
  </si>
  <si>
    <t>TW 360
(구글/ 메타)</t>
    <phoneticPr fontId="3" type="noConversion"/>
  </si>
  <si>
    <t>듀오</t>
    <phoneticPr fontId="3" type="noConversion"/>
  </si>
  <si>
    <t>대행사/ 렙사</t>
    <phoneticPr fontId="3" type="noConversion"/>
  </si>
  <si>
    <t>인크로스</t>
    <phoneticPr fontId="3" type="noConversion"/>
  </si>
  <si>
    <t>대행수수료</t>
    <phoneticPr fontId="3" type="noConversion"/>
  </si>
  <si>
    <t>1개월</t>
    <phoneticPr fontId="3" type="noConversion"/>
  </si>
  <si>
    <t>-</t>
    <phoneticPr fontId="3" type="noConversion"/>
  </si>
  <si>
    <t>추가로 필요하신 부분은 언제든 편히 말씀 주시기 바랍니다^^</t>
  </si>
  <si>
    <t>감사합니다.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</si>
</sst>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#,##0_);[Red]\(#,##0\)"/>
    <numFmt numFmtId="178" formatCode="_-&quot;₩&quot;* #,##0.00_-;\-&quot;₩&quot;* #,##0.00_-;_-&quot;₩&quot;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indexed="51"/>
      <name val="나눔고딕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b/>
      <sz val="9"/>
      <color indexed="9"/>
      <name val="나눔고딕"/>
      <family val="3"/>
      <charset val="129"/>
    </font>
    <font>
      <b/>
      <sz val="9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9"/>
      <color theme="9"/>
      <name val="나눔고딕"/>
      <family val="3"/>
      <charset val="129"/>
    </font>
    <font>
      <b/>
      <sz val="9"/>
      <color theme="0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0"/>
      <name val="나눔고딕"/>
      <family val="3"/>
      <charset val="129"/>
    </font>
    <font>
      <sz val="9"/>
      <color rgb="FFFFC000"/>
      <name val="나눔고딕"/>
      <family val="3"/>
      <charset val="129"/>
    </font>
    <font>
      <sz val="9"/>
      <color theme="0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9"/>
      <color rgb="FF002060"/>
      <name val="나눔고딕"/>
      <family val="3"/>
      <charset val="129"/>
    </font>
    <font>
      <sz val="10"/>
      <color rgb="FF002060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color rgb="FF00000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4"/>
      <name val="나눔고딕"/>
      <family val="3"/>
      <charset val="129"/>
    </font>
    <font>
      <sz val="9"/>
      <color rgb="FF22222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2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>
      <alignment vertical="center"/>
    </xf>
    <xf numFmtId="176" fontId="5" fillId="0" borderId="4" xfId="4" applyFont="1" applyFill="1" applyBorder="1" applyAlignment="1">
      <alignment vertical="center"/>
    </xf>
    <xf numFmtId="176" fontId="5" fillId="0" borderId="0" xfId="4" applyFont="1" applyFill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42" fontId="7" fillId="0" borderId="0" xfId="1" applyNumberFormat="1" applyFont="1" applyAlignment="1">
      <alignment horizontal="center" vertical="center"/>
    </xf>
    <xf numFmtId="177" fontId="2" fillId="0" borderId="0" xfId="5" applyNumberFormat="1" applyFont="1" applyAlignment="1">
      <alignment horizontal="right" vertical="center"/>
    </xf>
    <xf numFmtId="42" fontId="2" fillId="0" borderId="0" xfId="0" applyNumberFormat="1" applyFont="1">
      <alignment vertical="center"/>
    </xf>
    <xf numFmtId="0" fontId="8" fillId="3" borderId="5" xfId="6" applyFont="1" applyFill="1" applyBorder="1" applyAlignment="1">
      <alignment horizontal="center" vertical="center"/>
    </xf>
    <xf numFmtId="3" fontId="9" fillId="4" borderId="5" xfId="6" applyNumberFormat="1" applyFont="1" applyFill="1" applyBorder="1" applyAlignment="1">
      <alignment horizontal="center" vertical="center"/>
    </xf>
    <xf numFmtId="176" fontId="10" fillId="0" borderId="5" xfId="3" applyFont="1" applyFill="1" applyBorder="1" applyAlignment="1">
      <alignment horizontal="center" vertical="center"/>
    </xf>
    <xf numFmtId="176" fontId="10" fillId="0" borderId="4" xfId="4" applyFont="1" applyFill="1" applyBorder="1" applyAlignment="1">
      <alignment horizontal="center" vertical="center"/>
    </xf>
    <xf numFmtId="3" fontId="9" fillId="4" borderId="0" xfId="6" applyNumberFormat="1" applyFont="1" applyFill="1" applyAlignment="1">
      <alignment horizontal="center" vertical="center"/>
    </xf>
    <xf numFmtId="3" fontId="9" fillId="5" borderId="5" xfId="6" applyNumberFormat="1" applyFont="1" applyFill="1" applyBorder="1" applyAlignment="1">
      <alignment horizontal="center" vertical="center"/>
    </xf>
    <xf numFmtId="3" fontId="11" fillId="4" borderId="4" xfId="6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42" fontId="2" fillId="0" borderId="0" xfId="1" applyNumberFormat="1" applyFont="1">
      <alignment vertical="center"/>
    </xf>
    <xf numFmtId="14" fontId="12" fillId="0" borderId="4" xfId="6" applyNumberFormat="1" applyFont="1" applyBorder="1" applyAlignment="1">
      <alignment horizontal="center" vertical="center"/>
    </xf>
    <xf numFmtId="14" fontId="12" fillId="0" borderId="0" xfId="6" applyNumberFormat="1" applyFont="1" applyAlignment="1">
      <alignment horizontal="center" vertical="center"/>
    </xf>
    <xf numFmtId="0" fontId="13" fillId="0" borderId="0" xfId="0" applyFont="1">
      <alignment vertical="center"/>
    </xf>
    <xf numFmtId="41" fontId="2" fillId="0" borderId="0" xfId="1" applyFont="1">
      <alignment vertical="center"/>
    </xf>
    <xf numFmtId="177" fontId="13" fillId="0" borderId="0" xfId="0" applyNumberFormat="1" applyFont="1" applyAlignment="1">
      <alignment horizontal="right" vertical="center"/>
    </xf>
    <xf numFmtId="42" fontId="13" fillId="0" borderId="0" xfId="1" applyNumberFormat="1" applyFont="1">
      <alignment vertical="center"/>
    </xf>
    <xf numFmtId="42" fontId="13" fillId="0" borderId="0" xfId="0" applyNumberFormat="1" applyFont="1">
      <alignment vertical="center"/>
    </xf>
    <xf numFmtId="0" fontId="14" fillId="0" borderId="0" xfId="7" applyFont="1" applyAlignment="1">
      <alignment vertical="center"/>
    </xf>
    <xf numFmtId="176" fontId="14" fillId="0" borderId="0" xfId="4" applyFont="1">
      <alignment vertical="center"/>
    </xf>
    <xf numFmtId="0" fontId="7" fillId="0" borderId="12" xfId="9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7" fontId="2" fillId="0" borderId="0" xfId="1" applyNumberFormat="1" applyFont="1" applyAlignment="1">
      <alignment horizontal="right" vertical="center"/>
    </xf>
    <xf numFmtId="177" fontId="19" fillId="0" borderId="0" xfId="1" applyNumberFormat="1" applyFont="1" applyAlignment="1">
      <alignment horizontal="right" vertical="center"/>
    </xf>
    <xf numFmtId="42" fontId="19" fillId="0" borderId="0" xfId="1" applyNumberFormat="1" applyFont="1">
      <alignment vertical="center"/>
    </xf>
    <xf numFmtId="177" fontId="19" fillId="0" borderId="0" xfId="0" applyNumberFormat="1" applyFont="1" applyAlignment="1">
      <alignment horizontal="right" vertical="center"/>
    </xf>
    <xf numFmtId="42" fontId="19" fillId="0" borderId="0" xfId="0" applyNumberFormat="1" applyFont="1">
      <alignment vertical="center"/>
    </xf>
    <xf numFmtId="0" fontId="20" fillId="0" borderId="0" xfId="0" applyFont="1">
      <alignment vertical="center"/>
    </xf>
    <xf numFmtId="178" fontId="13" fillId="0" borderId="0" xfId="1" applyNumberFormat="1" applyFont="1">
      <alignment vertical="center"/>
    </xf>
    <xf numFmtId="178" fontId="19" fillId="0" borderId="0" xfId="1" applyNumberFormat="1" applyFont="1">
      <alignment vertical="center"/>
    </xf>
    <xf numFmtId="44" fontId="2" fillId="0" borderId="0" xfId="0" applyNumberFormat="1" applyFont="1">
      <alignment vertical="center"/>
    </xf>
    <xf numFmtId="0" fontId="16" fillId="3" borderId="12" xfId="8" applyFont="1" applyFill="1" applyBorder="1" applyAlignment="1">
      <alignment horizontal="center" vertical="center"/>
    </xf>
    <xf numFmtId="177" fontId="16" fillId="3" borderId="12" xfId="4" applyNumberFormat="1" applyFont="1" applyFill="1" applyBorder="1" applyAlignment="1">
      <alignment horizontal="center" vertical="center" wrapText="1"/>
    </xf>
    <xf numFmtId="42" fontId="16" fillId="3" borderId="13" xfId="4" applyNumberFormat="1" applyFont="1" applyFill="1" applyBorder="1" applyAlignment="1">
      <alignment horizontal="center" vertical="center" wrapText="1"/>
    </xf>
    <xf numFmtId="3" fontId="7" fillId="0" borderId="12" xfId="9" applyNumberFormat="1" applyFont="1" applyBorder="1" applyAlignment="1">
      <alignment horizontal="center" vertical="center" wrapText="1"/>
    </xf>
    <xf numFmtId="177" fontId="16" fillId="2" borderId="15" xfId="7" applyNumberFormat="1" applyFont="1" applyFill="1" applyBorder="1" applyAlignment="1">
      <alignment horizontal="right" vertical="center"/>
    </xf>
    <xf numFmtId="0" fontId="16" fillId="3" borderId="17" xfId="8" applyFont="1" applyFill="1" applyBorder="1" applyAlignment="1">
      <alignment horizontal="center" vertical="center"/>
    </xf>
    <xf numFmtId="0" fontId="16" fillId="3" borderId="12" xfId="8" applyFont="1" applyFill="1" applyBorder="1" applyAlignment="1">
      <alignment horizontal="center" vertical="center" wrapText="1"/>
    </xf>
    <xf numFmtId="42" fontId="16" fillId="3" borderId="12" xfId="1" applyNumberFormat="1" applyFont="1" applyFill="1" applyBorder="1" applyAlignment="1">
      <alignment horizontal="center" vertical="center" wrapText="1"/>
    </xf>
    <xf numFmtId="176" fontId="16" fillId="3" borderId="12" xfId="4" applyFont="1" applyFill="1" applyBorder="1" applyAlignment="1">
      <alignment horizontal="center" vertical="center" wrapText="1"/>
    </xf>
    <xf numFmtId="0" fontId="7" fillId="0" borderId="17" xfId="9" applyFont="1" applyBorder="1" applyAlignment="1">
      <alignment horizontal="center" vertical="center" wrapText="1"/>
    </xf>
    <xf numFmtId="42" fontId="7" fillId="0" borderId="12" xfId="1" quotePrefix="1" applyNumberFormat="1" applyFont="1" applyBorder="1" applyAlignment="1">
      <alignment horizontal="center" vertical="center"/>
    </xf>
    <xf numFmtId="41" fontId="23" fillId="8" borderId="0" xfId="1" quotePrefix="1" applyFont="1" applyFill="1" applyBorder="1" applyAlignment="1">
      <alignment horizontal="left" vertical="center"/>
    </xf>
    <xf numFmtId="10" fontId="16" fillId="2" borderId="15" xfId="2" applyNumberFormat="1" applyFont="1" applyFill="1" applyBorder="1" applyAlignment="1">
      <alignment horizontal="right" vertical="center"/>
    </xf>
    <xf numFmtId="0" fontId="9" fillId="0" borderId="0" xfId="7" applyFont="1" applyAlignment="1">
      <alignment horizontal="center" vertical="center"/>
    </xf>
    <xf numFmtId="177" fontId="7" fillId="0" borderId="0" xfId="1" applyNumberFormat="1" applyFont="1" applyAlignment="1">
      <alignment horizontal="center" vertical="center"/>
    </xf>
    <xf numFmtId="0" fontId="14" fillId="0" borderId="0" xfId="7" applyFont="1" applyAlignment="1">
      <alignment horizontal="center" vertical="center"/>
    </xf>
    <xf numFmtId="42" fontId="16" fillId="2" borderId="15" xfId="7" applyNumberFormat="1" applyFont="1" applyFill="1" applyBorder="1" applyAlignment="1">
      <alignment horizontal="center" vertical="center"/>
    </xf>
    <xf numFmtId="10" fontId="7" fillId="5" borderId="12" xfId="2" quotePrefix="1" applyNumberFormat="1" applyFont="1" applyFill="1" applyBorder="1" applyAlignment="1">
      <alignment horizontal="right" vertical="center"/>
    </xf>
    <xf numFmtId="41" fontId="7" fillId="5" borderId="12" xfId="1" quotePrefix="1" applyFont="1" applyFill="1" applyBorder="1" applyAlignment="1">
      <alignment horizontal="right" vertical="center"/>
    </xf>
    <xf numFmtId="42" fontId="7" fillId="5" borderId="12" xfId="1" quotePrefix="1" applyNumberFormat="1" applyFont="1" applyFill="1" applyBorder="1" applyAlignment="1">
      <alignment horizontal="right" vertical="center"/>
    </xf>
    <xf numFmtId="10" fontId="7" fillId="0" borderId="12" xfId="2" quotePrefix="1" applyNumberFormat="1" applyFont="1" applyBorder="1" applyAlignment="1">
      <alignment horizontal="right" vertical="center"/>
    </xf>
    <xf numFmtId="41" fontId="7" fillId="0" borderId="12" xfId="1" quotePrefix="1" applyFont="1" applyFill="1" applyBorder="1" applyAlignment="1">
      <alignment horizontal="right" vertical="center"/>
    </xf>
    <xf numFmtId="42" fontId="7" fillId="0" borderId="13" xfId="1" quotePrefix="1" applyNumberFormat="1" applyFont="1" applyFill="1" applyBorder="1" applyAlignment="1">
      <alignment horizontal="right" vertical="center"/>
    </xf>
    <xf numFmtId="42" fontId="16" fillId="2" borderId="15" xfId="7" applyNumberFormat="1" applyFont="1" applyFill="1" applyBorder="1" applyAlignment="1">
      <alignment horizontal="right" vertical="center"/>
    </xf>
    <xf numFmtId="42" fontId="16" fillId="2" borderId="16" xfId="1" applyNumberFormat="1" applyFont="1" applyFill="1" applyBorder="1" applyAlignment="1">
      <alignment horizontal="right" vertical="center"/>
    </xf>
    <xf numFmtId="42" fontId="7" fillId="0" borderId="12" xfId="1" quotePrefix="1" applyNumberFormat="1" applyFont="1" applyFill="1" applyBorder="1" applyAlignment="1">
      <alignment horizontal="right" vertical="center"/>
    </xf>
    <xf numFmtId="176" fontId="25" fillId="0" borderId="5" xfId="12" quotePrefix="1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9" fontId="9" fillId="4" borderId="5" xfId="2" applyFont="1" applyFill="1" applyBorder="1" applyAlignment="1">
      <alignment horizontal="center" vertical="center"/>
    </xf>
    <xf numFmtId="0" fontId="17" fillId="2" borderId="14" xfId="7" applyFont="1" applyFill="1" applyBorder="1" applyAlignment="1">
      <alignment horizontal="center" vertical="center"/>
    </xf>
    <xf numFmtId="0" fontId="17" fillId="2" borderId="15" xfId="7" applyFont="1" applyFill="1" applyBorder="1" applyAlignment="1">
      <alignment horizontal="center" vertical="center"/>
    </xf>
    <xf numFmtId="176" fontId="5" fillId="2" borderId="1" xfId="3" applyFont="1" applyFill="1" applyBorder="1" applyAlignment="1">
      <alignment horizontal="center" vertical="center"/>
    </xf>
    <xf numFmtId="176" fontId="5" fillId="2" borderId="2" xfId="3" applyFont="1" applyFill="1" applyBorder="1" applyAlignment="1">
      <alignment horizontal="center" vertical="center"/>
    </xf>
    <xf numFmtId="176" fontId="5" fillId="2" borderId="3" xfId="3" applyFont="1" applyFill="1" applyBorder="1" applyAlignment="1">
      <alignment horizontal="center" vertical="center"/>
    </xf>
    <xf numFmtId="0" fontId="15" fillId="7" borderId="9" xfId="7" applyFont="1" applyFill="1" applyBorder="1" applyAlignment="1">
      <alignment horizontal="center" vertical="center"/>
    </xf>
    <xf numFmtId="0" fontId="15" fillId="7" borderId="10" xfId="7" applyFont="1" applyFill="1" applyBorder="1" applyAlignment="1">
      <alignment horizontal="center" vertical="center"/>
    </xf>
    <xf numFmtId="0" fontId="15" fillId="7" borderId="11" xfId="7" applyFont="1" applyFill="1" applyBorder="1" applyAlignment="1">
      <alignment horizontal="center" vertical="center"/>
    </xf>
    <xf numFmtId="0" fontId="9" fillId="6" borderId="6" xfId="7" applyFont="1" applyFill="1" applyBorder="1" applyAlignment="1">
      <alignment horizontal="center" vertical="center"/>
    </xf>
    <xf numFmtId="0" fontId="9" fillId="6" borderId="7" xfId="7" applyFont="1" applyFill="1" applyBorder="1" applyAlignment="1">
      <alignment horizontal="center" vertical="center"/>
    </xf>
    <xf numFmtId="0" fontId="9" fillId="6" borderId="8" xfId="7" applyFont="1" applyFill="1" applyBorder="1" applyAlignment="1">
      <alignment horizontal="center" vertical="center"/>
    </xf>
  </cellXfs>
  <cellStyles count="13">
    <cellStyle name="백분율" xfId="2" builtinId="5"/>
    <cellStyle name="쉼표 [0]" xfId="1" builtinId="6"/>
    <cellStyle name="쉼표 [0] 2" xfId="3" xr:uid="{B0DF7BFA-5D72-4B2C-912E-D9E6032EB9E0}"/>
    <cellStyle name="쉼표 [0] 2 2" xfId="4" xr:uid="{36BA39CF-F304-417D-B9AA-B73EC3B66C1D}"/>
    <cellStyle name="쉼표 [0] 3" xfId="5" xr:uid="{1E5B6B7A-A133-4762-8533-A199359EE4F5}"/>
    <cellStyle name="표준" xfId="0" builtinId="0"/>
    <cellStyle name="표준 2" xfId="10" xr:uid="{41C4661C-80EF-4252-B32A-28F37F9B91F3}"/>
    <cellStyle name="표준 2 2 2" xfId="7" xr:uid="{4BCB2D66-C0EC-40C3-8F79-7B96398CDF8F}"/>
    <cellStyle name="표준_060721_하나커피카드_Media Mix_070125_르노삼성(SM5)_Media Mix_NAS(작업전)_르노삼성 믹스종합_070214" xfId="8" xr:uid="{3D703336-C9FD-48C2-9970-AADF2EF29ABA}"/>
    <cellStyle name="표준_060721_하나커피카드_Media Mix_070125_르노삼성(SM5)_Media Mix_NAS(작업전)_르노삼성 믹스종합_070214_070621_르노삼성(SM5)_Media Mix_NAS" xfId="9" xr:uid="{4230749F-6DFE-4635-BA0E-2641E23E65BD}"/>
    <cellStyle name="표준_DHC8월 MediaMix_070718_DHC9월 MediaMix_070817" xfId="6" xr:uid="{8C42F5B2-18EA-4465-819C-C53C35619481}"/>
    <cellStyle name="하이퍼링크" xfId="12" builtinId="8"/>
    <cellStyle name="하이퍼링크 2" xfId="11" xr:uid="{2B67359A-05BA-49B5-9B91-917BF1C324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ejS1TakCJWJWz37fayrROlhIQgrHqXaB/edit?gid=18307595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363F-2FFE-4364-87C6-8B29A4F8D2A2}">
  <sheetPr>
    <tabColor theme="7" tint="0.79998168889431442"/>
    <pageSetUpPr fitToPage="1"/>
  </sheetPr>
  <dimension ref="A2:Q52"/>
  <sheetViews>
    <sheetView showGridLines="0" tabSelected="1" zoomScaleNormal="100" zoomScalePageLayoutView="130" workbookViewId="0">
      <selection activeCell="G1" sqref="G1"/>
    </sheetView>
  </sheetViews>
  <sheetFormatPr defaultColWidth="8.8984375" defaultRowHeight="13.8" x14ac:dyDescent="0.4"/>
  <cols>
    <col min="1" max="1" width="2" style="19" customWidth="1"/>
    <col min="2" max="5" width="20.59765625" style="19" customWidth="1"/>
    <col min="6" max="6" width="16.59765625" style="19" customWidth="1"/>
    <col min="7" max="7" width="15.59765625" style="19" customWidth="1"/>
    <col min="8" max="8" width="16.59765625" style="19" customWidth="1"/>
    <col min="9" max="10" width="9.69921875" style="21" customWidth="1"/>
    <col min="11" max="11" width="12.5" style="22" customWidth="1"/>
    <col min="12" max="12" width="12.69921875" style="21" customWidth="1"/>
    <col min="13" max="13" width="10.59765625" style="22" customWidth="1"/>
    <col min="14" max="14" width="10.59765625" style="19" customWidth="1"/>
    <col min="15" max="15" width="12.3984375" style="21" customWidth="1"/>
    <col min="16" max="16" width="10" style="23" customWidth="1"/>
    <col min="17" max="18" width="12.3984375" style="19" customWidth="1"/>
    <col min="19" max="16384" width="8.8984375" style="19"/>
  </cols>
  <sheetData>
    <row r="2" spans="1:17" s="1" customFormat="1" ht="20.100000000000001" customHeight="1" x14ac:dyDescent="0.4">
      <c r="B2" s="70" t="s">
        <v>0</v>
      </c>
      <c r="C2" s="71"/>
      <c r="D2" s="71"/>
      <c r="E2" s="72"/>
      <c r="F2" s="2"/>
      <c r="G2" s="3"/>
      <c r="I2" s="4"/>
      <c r="J2" s="4"/>
      <c r="K2" s="5"/>
      <c r="L2" s="4"/>
      <c r="M2" s="5"/>
      <c r="O2" s="6"/>
      <c r="P2" s="7"/>
    </row>
    <row r="3" spans="1:17" s="1" customFormat="1" ht="15" customHeight="1" x14ac:dyDescent="0.4">
      <c r="B3" s="8" t="s">
        <v>20</v>
      </c>
      <c r="C3" s="9" t="s">
        <v>35</v>
      </c>
      <c r="D3" s="8" t="s">
        <v>1</v>
      </c>
      <c r="E3" s="9" t="s">
        <v>33</v>
      </c>
      <c r="F3" s="11"/>
      <c r="G3" s="3"/>
      <c r="I3" s="4"/>
      <c r="J3" s="4"/>
      <c r="K3" s="5"/>
      <c r="L3" s="4"/>
      <c r="M3" s="5"/>
      <c r="O3" s="6"/>
      <c r="P3" s="7"/>
    </row>
    <row r="4" spans="1:17" s="1" customFormat="1" ht="15" customHeight="1" x14ac:dyDescent="0.4">
      <c r="B4" s="8" t="s">
        <v>36</v>
      </c>
      <c r="C4" s="9" t="s">
        <v>37</v>
      </c>
      <c r="D4" s="8" t="s">
        <v>38</v>
      </c>
      <c r="E4" s="67">
        <v>0.15</v>
      </c>
      <c r="F4" s="11"/>
      <c r="G4" s="3"/>
      <c r="I4" s="4"/>
      <c r="J4" s="4"/>
      <c r="K4" s="5"/>
      <c r="L4" s="4"/>
      <c r="M4" s="5"/>
      <c r="O4" s="6"/>
      <c r="P4" s="7"/>
    </row>
    <row r="5" spans="1:17" s="1" customFormat="1" ht="15" customHeight="1" x14ac:dyDescent="0.4">
      <c r="B5" s="8" t="s">
        <v>2</v>
      </c>
      <c r="C5" s="13" t="str">
        <f>C12</f>
        <v>전환수</v>
      </c>
      <c r="D5" s="8" t="s">
        <v>21</v>
      </c>
      <c r="E5" s="10" t="str">
        <f>D12</f>
        <v>회원가입 유도하기</v>
      </c>
      <c r="F5" s="14"/>
      <c r="G5" s="12"/>
      <c r="I5" s="15"/>
      <c r="J5" s="15"/>
      <c r="K5" s="16"/>
      <c r="L5" s="15"/>
      <c r="M5" s="16"/>
      <c r="O5" s="15"/>
      <c r="P5" s="7"/>
    </row>
    <row r="6" spans="1:17" s="1" customFormat="1" ht="15" customHeight="1" x14ac:dyDescent="0.4">
      <c r="B6" s="8" t="s">
        <v>3</v>
      </c>
      <c r="C6" s="10" t="s">
        <v>39</v>
      </c>
      <c r="D6" s="8" t="s">
        <v>23</v>
      </c>
      <c r="E6" s="10">
        <v>10000000</v>
      </c>
      <c r="F6" s="17">
        <v>45635</v>
      </c>
      <c r="G6" s="18">
        <f>F6+30-1</f>
        <v>45664</v>
      </c>
      <c r="I6" s="4"/>
      <c r="J6" s="4"/>
      <c r="K6" s="5"/>
      <c r="L6" s="4"/>
      <c r="M6" s="4"/>
      <c r="O6" s="6"/>
      <c r="P6" s="7"/>
    </row>
    <row r="7" spans="1:17" s="1" customFormat="1" ht="15" customHeight="1" x14ac:dyDescent="0.4">
      <c r="B7" s="8" t="s">
        <v>29</v>
      </c>
      <c r="C7" s="65" t="s">
        <v>30</v>
      </c>
      <c r="D7" s="8" t="s">
        <v>31</v>
      </c>
      <c r="E7" s="10" t="s">
        <v>40</v>
      </c>
      <c r="F7" s="18"/>
      <c r="G7" s="18"/>
      <c r="I7" s="4"/>
      <c r="J7" s="4"/>
      <c r="K7" s="5"/>
      <c r="L7" s="4"/>
      <c r="M7" s="4"/>
      <c r="O7" s="6"/>
      <c r="P7" s="7"/>
    </row>
    <row r="8" spans="1:17" s="1" customFormat="1" ht="15" customHeight="1" thickBot="1" x14ac:dyDescent="0.45">
      <c r="B8" s="18"/>
      <c r="C8" s="18"/>
      <c r="D8" s="18"/>
      <c r="E8" s="18"/>
      <c r="F8" s="18"/>
      <c r="G8" s="18"/>
      <c r="I8" s="4"/>
      <c r="J8" s="4"/>
      <c r="K8" s="5"/>
      <c r="L8" s="4"/>
      <c r="M8" s="4"/>
      <c r="O8" s="6"/>
      <c r="P8" s="7"/>
    </row>
    <row r="9" spans="1:17" s="24" customFormat="1" ht="15" customHeight="1" thickBot="1" x14ac:dyDescent="0.45">
      <c r="B9" s="50" t="s">
        <v>24</v>
      </c>
      <c r="C9" s="52"/>
      <c r="D9" s="52"/>
      <c r="E9" s="52"/>
      <c r="F9" s="52"/>
      <c r="G9" s="52"/>
      <c r="H9" s="52"/>
      <c r="I9" s="76" t="s">
        <v>19</v>
      </c>
      <c r="J9" s="77"/>
      <c r="K9" s="78"/>
      <c r="L9" s="53"/>
      <c r="M9" s="53"/>
      <c r="N9" s="54"/>
      <c r="O9" s="54"/>
      <c r="P9" s="54"/>
    </row>
    <row r="10" spans="1:17" s="24" customFormat="1" ht="20.100000000000001" customHeight="1" x14ac:dyDescent="0.4">
      <c r="B10" s="73" t="s">
        <v>16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5"/>
    </row>
    <row r="11" spans="1:17" s="24" customFormat="1" ht="20.100000000000001" customHeight="1" x14ac:dyDescent="0.4">
      <c r="B11" s="44" t="s">
        <v>6</v>
      </c>
      <c r="C11" s="39" t="s">
        <v>2</v>
      </c>
      <c r="D11" s="39" t="s">
        <v>21</v>
      </c>
      <c r="E11" s="39" t="s">
        <v>3</v>
      </c>
      <c r="F11" s="39" t="s">
        <v>4</v>
      </c>
      <c r="G11" s="39" t="s">
        <v>7</v>
      </c>
      <c r="H11" s="45" t="s">
        <v>22</v>
      </c>
      <c r="I11" s="40" t="s">
        <v>26</v>
      </c>
      <c r="J11" s="40" t="s">
        <v>27</v>
      </c>
      <c r="K11" s="46" t="s">
        <v>28</v>
      </c>
      <c r="L11" s="40" t="s">
        <v>8</v>
      </c>
      <c r="M11" s="46" t="s">
        <v>9</v>
      </c>
      <c r="N11" s="47" t="s">
        <v>5</v>
      </c>
      <c r="O11" s="40" t="s">
        <v>17</v>
      </c>
      <c r="P11" s="41" t="s">
        <v>18</v>
      </c>
    </row>
    <row r="12" spans="1:17" s="25" customFormat="1" ht="39.9" customHeight="1" x14ac:dyDescent="0.4">
      <c r="B12" s="48" t="s">
        <v>34</v>
      </c>
      <c r="C12" s="42" t="s">
        <v>25</v>
      </c>
      <c r="D12" s="42" t="s">
        <v>32</v>
      </c>
      <c r="E12" s="42" t="str">
        <f>C6</f>
        <v>1개월</v>
      </c>
      <c r="F12" s="26" t="s">
        <v>10</v>
      </c>
      <c r="G12" s="26" t="s">
        <v>11</v>
      </c>
      <c r="H12" s="49">
        <f>E6</f>
        <v>10000000</v>
      </c>
      <c r="I12" s="56">
        <f>J12/O12</f>
        <v>3.2000000000000001E-2</v>
      </c>
      <c r="J12" s="57">
        <f>H12/K12</f>
        <v>200</v>
      </c>
      <c r="K12" s="58">
        <v>50000</v>
      </c>
      <c r="L12" s="60">
        <f>H12/M12*1000</f>
        <v>1818181.8181818184</v>
      </c>
      <c r="M12" s="64">
        <v>5500</v>
      </c>
      <c r="N12" s="59">
        <f>O12/L12</f>
        <v>3.4374999999999996E-3</v>
      </c>
      <c r="O12" s="60">
        <f>H12/P12</f>
        <v>6250</v>
      </c>
      <c r="P12" s="61">
        <v>1600</v>
      </c>
    </row>
    <row r="13" spans="1:17" s="25" customFormat="1" ht="20.100000000000001" customHeight="1" thickBot="1" x14ac:dyDescent="0.45">
      <c r="B13" s="68" t="s">
        <v>15</v>
      </c>
      <c r="C13" s="69"/>
      <c r="D13" s="69"/>
      <c r="E13" s="69"/>
      <c r="F13" s="69"/>
      <c r="G13" s="69"/>
      <c r="H13" s="55">
        <f t="shared" ref="H13:P13" si="0">H12</f>
        <v>10000000</v>
      </c>
      <c r="I13" s="51">
        <f>I12</f>
        <v>3.2000000000000001E-2</v>
      </c>
      <c r="J13" s="43">
        <f>J12</f>
        <v>200</v>
      </c>
      <c r="K13" s="62">
        <f>K12</f>
        <v>50000</v>
      </c>
      <c r="L13" s="43">
        <f>L12</f>
        <v>1818181.8181818184</v>
      </c>
      <c r="M13" s="62">
        <f>M12</f>
        <v>5500</v>
      </c>
      <c r="N13" s="51">
        <f t="shared" si="0"/>
        <v>3.4374999999999996E-3</v>
      </c>
      <c r="O13" s="43">
        <f t="shared" si="0"/>
        <v>6250</v>
      </c>
      <c r="P13" s="63">
        <f t="shared" si="0"/>
        <v>1600</v>
      </c>
    </row>
    <row r="14" spans="1:17" s="25" customFormat="1" ht="13.5" customHeight="1" x14ac:dyDescent="0.4">
      <c r="A14" s="19"/>
      <c r="B14" s="19"/>
      <c r="C14" s="19"/>
      <c r="D14" s="19"/>
      <c r="E14" s="19"/>
      <c r="F14" s="19"/>
      <c r="G14" s="19"/>
      <c r="H14" s="20"/>
      <c r="I14" s="21"/>
      <c r="J14" s="21"/>
      <c r="K14" s="22"/>
      <c r="L14" s="21"/>
      <c r="M14" s="22"/>
      <c r="N14" s="19"/>
      <c r="O14" s="21"/>
      <c r="P14" s="23"/>
    </row>
    <row r="15" spans="1:17" s="1" customFormat="1" ht="14.25" customHeight="1" x14ac:dyDescent="0.4">
      <c r="B15" s="27" t="s">
        <v>12</v>
      </c>
      <c r="C15" s="28"/>
      <c r="D15" s="28"/>
      <c r="E15" s="28"/>
      <c r="F15" s="28"/>
      <c r="G15" s="28"/>
      <c r="H15" s="29"/>
      <c r="I15" s="30"/>
      <c r="J15" s="30"/>
      <c r="K15" s="16"/>
      <c r="L15" s="30"/>
      <c r="M15" s="16"/>
      <c r="N15" s="38"/>
      <c r="O15" s="15"/>
      <c r="P15" s="7"/>
      <c r="Q15" s="38"/>
    </row>
    <row r="16" spans="1:17" s="1" customFormat="1" ht="14.25" customHeight="1" x14ac:dyDescent="0.4">
      <c r="B16" s="27" t="s">
        <v>13</v>
      </c>
      <c r="C16" s="28"/>
      <c r="D16" s="28"/>
      <c r="E16" s="28"/>
      <c r="F16" s="28"/>
      <c r="G16" s="28"/>
      <c r="H16" s="29"/>
      <c r="I16" s="31"/>
      <c r="J16" s="31"/>
      <c r="K16" s="37"/>
      <c r="L16" s="31"/>
      <c r="M16" s="37"/>
      <c r="N16" s="32"/>
      <c r="O16" s="33"/>
      <c r="P16" s="34"/>
      <c r="Q16" s="32"/>
    </row>
    <row r="17" spans="2:16" s="1" customFormat="1" ht="14.25" customHeight="1" x14ac:dyDescent="0.4">
      <c r="B17" s="27" t="s">
        <v>14</v>
      </c>
      <c r="C17" s="35"/>
      <c r="D17" s="35"/>
      <c r="E17" s="35"/>
      <c r="F17" s="35"/>
      <c r="G17" s="35"/>
      <c r="H17" s="20"/>
      <c r="I17" s="33"/>
      <c r="J17" s="33"/>
      <c r="K17" s="32"/>
      <c r="L17" s="33"/>
      <c r="M17" s="32"/>
      <c r="N17" s="29"/>
      <c r="O17" s="33"/>
      <c r="P17" s="34"/>
    </row>
    <row r="18" spans="2:16" x14ac:dyDescent="0.4">
      <c r="B18" s="35"/>
      <c r="C18" s="35"/>
      <c r="D18" s="35"/>
      <c r="E18" s="35"/>
      <c r="F18" s="35"/>
      <c r="G18" s="35"/>
      <c r="K18" s="36"/>
      <c r="M18" s="36"/>
    </row>
    <row r="19" spans="2:16" x14ac:dyDescent="0.4">
      <c r="G19" s="21"/>
      <c r="H19" s="21"/>
    </row>
    <row r="20" spans="2:16" x14ac:dyDescent="0.4">
      <c r="G20" s="21"/>
      <c r="H20" s="21"/>
    </row>
    <row r="21" spans="2:16" x14ac:dyDescent="0.4">
      <c r="G21" s="21"/>
      <c r="H21" s="21"/>
    </row>
    <row r="22" spans="2:16" x14ac:dyDescent="0.4">
      <c r="G22" s="21"/>
      <c r="H22" s="21"/>
    </row>
    <row r="23" spans="2:16" x14ac:dyDescent="0.4">
      <c r="G23" s="21"/>
      <c r="H23" s="21"/>
    </row>
    <row r="24" spans="2:16" x14ac:dyDescent="0.4">
      <c r="G24" s="21"/>
      <c r="H24" s="21"/>
    </row>
    <row r="25" spans="2:16" x14ac:dyDescent="0.4">
      <c r="G25" s="21"/>
      <c r="H25" s="21"/>
    </row>
    <row r="26" spans="2:16" x14ac:dyDescent="0.4">
      <c r="G26" s="21"/>
      <c r="H26" s="21"/>
    </row>
    <row r="27" spans="2:16" x14ac:dyDescent="0.4">
      <c r="G27" s="21"/>
      <c r="H27" s="21"/>
    </row>
    <row r="28" spans="2:16" x14ac:dyDescent="0.4">
      <c r="G28" s="21"/>
      <c r="H28" s="21"/>
    </row>
    <row r="29" spans="2:16" x14ac:dyDescent="0.4">
      <c r="G29" s="21"/>
      <c r="H29" s="21"/>
    </row>
    <row r="30" spans="2:16" ht="17.399999999999999" x14ac:dyDescent="0.4">
      <c r="G30" s="66"/>
      <c r="H30"/>
      <c r="I30"/>
    </row>
    <row r="31" spans="2:16" ht="17.399999999999999" x14ac:dyDescent="0.4">
      <c r="G31" s="66"/>
      <c r="H31"/>
      <c r="I31"/>
    </row>
    <row r="32" spans="2:16" ht="17.399999999999999" x14ac:dyDescent="0.4">
      <c r="G32" s="66"/>
      <c r="H32"/>
      <c r="I32"/>
    </row>
    <row r="33" spans="7:9" ht="17.399999999999999" x14ac:dyDescent="0.4">
      <c r="G33" s="66"/>
      <c r="H33"/>
      <c r="I33"/>
    </row>
    <row r="34" spans="7:9" ht="17.399999999999999" x14ac:dyDescent="0.4">
      <c r="G34" s="66"/>
      <c r="H34"/>
      <c r="I34"/>
    </row>
    <row r="35" spans="7:9" ht="17.399999999999999" x14ac:dyDescent="0.4">
      <c r="G35" s="66"/>
      <c r="H35"/>
      <c r="I35"/>
    </row>
    <row r="36" spans="7:9" ht="17.399999999999999" x14ac:dyDescent="0.4">
      <c r="G36" s="66"/>
      <c r="H36"/>
      <c r="I36"/>
    </row>
    <row r="37" spans="7:9" ht="17.399999999999999" x14ac:dyDescent="0.4">
      <c r="G37" s="66"/>
      <c r="H37"/>
      <c r="I37"/>
    </row>
    <row r="38" spans="7:9" ht="17.399999999999999" x14ac:dyDescent="0.4">
      <c r="G38" s="66"/>
      <c r="H38"/>
      <c r="I38"/>
    </row>
    <row r="39" spans="7:9" ht="17.399999999999999" x14ac:dyDescent="0.4">
      <c r="G39" s="66"/>
      <c r="H39"/>
      <c r="I39"/>
    </row>
    <row r="40" spans="7:9" ht="17.399999999999999" x14ac:dyDescent="0.4">
      <c r="G40" s="66"/>
      <c r="H40"/>
      <c r="I40"/>
    </row>
    <row r="41" spans="7:9" ht="17.399999999999999" x14ac:dyDescent="0.4">
      <c r="G41" s="66"/>
      <c r="H41"/>
      <c r="I41"/>
    </row>
    <row r="42" spans="7:9" ht="17.399999999999999" x14ac:dyDescent="0.4">
      <c r="G42" s="66"/>
      <c r="H42"/>
      <c r="I42"/>
    </row>
    <row r="43" spans="7:9" ht="17.399999999999999" x14ac:dyDescent="0.4">
      <c r="G43" s="66"/>
      <c r="H43"/>
      <c r="I43"/>
    </row>
    <row r="44" spans="7:9" ht="17.399999999999999" x14ac:dyDescent="0.4">
      <c r="G44" s="66"/>
      <c r="H44"/>
      <c r="I44"/>
    </row>
    <row r="45" spans="7:9" ht="17.399999999999999" x14ac:dyDescent="0.4">
      <c r="G45" s="66"/>
      <c r="H45"/>
      <c r="I45"/>
    </row>
    <row r="46" spans="7:9" ht="17.399999999999999" x14ac:dyDescent="0.4">
      <c r="G46" s="66"/>
      <c r="H46"/>
      <c r="I46"/>
    </row>
    <row r="47" spans="7:9" ht="17.399999999999999" x14ac:dyDescent="0.4">
      <c r="G47" s="66"/>
      <c r="H47"/>
      <c r="I47"/>
    </row>
    <row r="48" spans="7:9" ht="17.399999999999999" x14ac:dyDescent="0.4">
      <c r="G48" s="66"/>
      <c r="H48"/>
      <c r="I48"/>
    </row>
    <row r="49" spans="7:9" ht="17.399999999999999" x14ac:dyDescent="0.4">
      <c r="G49" s="66"/>
      <c r="H49"/>
      <c r="I49"/>
    </row>
    <row r="50" spans="7:9" ht="34.200000000000003" x14ac:dyDescent="0.4">
      <c r="G50" s="66" t="s">
        <v>41</v>
      </c>
      <c r="H50"/>
      <c r="I50"/>
    </row>
    <row r="51" spans="7:9" ht="17.399999999999999" x14ac:dyDescent="0.4">
      <c r="G51" s="66"/>
      <c r="H51"/>
      <c r="I51"/>
    </row>
    <row r="52" spans="7:9" ht="17.399999999999999" x14ac:dyDescent="0.4">
      <c r="G52" s="66" t="s">
        <v>42</v>
      </c>
      <c r="H52"/>
      <c r="I52"/>
    </row>
  </sheetData>
  <mergeCells count="6">
    <mergeCell ref="H10:M10"/>
    <mergeCell ref="N10:P10"/>
    <mergeCell ref="I9:K9"/>
    <mergeCell ref="B13:G13"/>
    <mergeCell ref="B2:E2"/>
    <mergeCell ref="B10:G10"/>
  </mergeCells>
  <phoneticPr fontId="3" type="noConversion"/>
  <hyperlinks>
    <hyperlink ref="C7" r:id="rId1" location="gid=1830759552" xr:uid="{6068DD4B-BAAD-4252-8471-8CC95997902A}"/>
  </hyperlinks>
  <pageMargins left="0.7" right="0.7" top="0.75" bottom="0.75" header="0.3" footer="0.3"/>
  <pageSetup paperSize="9" scale="51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Plan_회원가입유도하기(CPA)</vt:lpstr>
    </vt:vector>
  </TitlesOfParts>
  <Company>IGAWorks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Mandy.전민지</dc:creator>
  <cp:lastModifiedBy>Tim.최태원</cp:lastModifiedBy>
  <dcterms:created xsi:type="dcterms:W3CDTF">2025-03-20T02:20:33Z</dcterms:created>
  <dcterms:modified xsi:type="dcterms:W3CDTF">2026-02-24T03:21:08Z</dcterms:modified>
</cp:coreProperties>
</file>